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8"/>
  <workbookPr defaultThemeVersion="166925"/>
  <mc:AlternateContent xmlns:mc="http://schemas.openxmlformats.org/markup-compatibility/2006">
    <mc:Choice Requires="x15">
      <x15ac:absPath xmlns:x15ac="http://schemas.microsoft.com/office/spreadsheetml/2010/11/ac" url="/Users/ashumate/Desktop/"/>
    </mc:Choice>
  </mc:AlternateContent>
  <xr:revisionPtr revIDLastSave="0" documentId="8_{60A28D65-65B3-3A47-B077-5FD358759C62}" xr6:coauthVersionLast="47" xr6:coauthVersionMax="47" xr10:uidLastSave="{00000000-0000-0000-0000-000000000000}"/>
  <bookViews>
    <workbookView xWindow="0" yWindow="500" windowWidth="23240" windowHeight="14000" activeTab="2" xr2:uid="{5269BD9C-0E2B-4544-9C6A-F9ACF872C195}"/>
  </bookViews>
  <sheets>
    <sheet name="Intro" sheetId="2" r:id="rId1"/>
    <sheet name="Instructions" sheetId="3" r:id="rId2"/>
    <sheet name="Question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6" i="1" l="1"/>
  <c r="O20" i="1"/>
  <c r="O16" i="1"/>
  <c r="O10" i="1"/>
  <c r="O2" i="1"/>
  <c r="L30" i="1"/>
  <c r="L29" i="1"/>
  <c r="L28" i="1"/>
  <c r="L27" i="1"/>
  <c r="L25" i="1"/>
  <c r="L24" i="1"/>
  <c r="L23" i="1"/>
  <c r="L22" i="1"/>
  <c r="L21" i="1"/>
  <c r="L19" i="1"/>
  <c r="L18" i="1"/>
  <c r="L17" i="1"/>
  <c r="L12" i="1"/>
  <c r="L13" i="1"/>
  <c r="L14" i="1"/>
  <c r="L15" i="1"/>
  <c r="L11" i="1"/>
  <c r="O32" i="1" l="1"/>
</calcChain>
</file>

<file path=xl/sharedStrings.xml><?xml version="1.0" encoding="utf-8"?>
<sst xmlns="http://schemas.openxmlformats.org/spreadsheetml/2006/main" count="168" uniqueCount="117">
  <si>
    <r>
      <t>A.</t>
    </r>
    <r>
      <rPr>
        <sz val="7"/>
        <color theme="1"/>
        <rFont val="Times New Roman"/>
        <family val="1"/>
      </rPr>
      <t xml:space="preserve">    </t>
    </r>
    <r>
      <rPr>
        <sz val="11"/>
        <color theme="1"/>
        <rFont val="Calibri"/>
        <family val="2"/>
        <scheme val="minor"/>
      </rPr>
      <t>Connecting benefits to company culture</t>
    </r>
  </si>
  <si>
    <r>
      <t>B.</t>
    </r>
    <r>
      <rPr>
        <sz val="7"/>
        <color theme="1"/>
        <rFont val="Times New Roman"/>
        <family val="1"/>
      </rPr>
      <t xml:space="preserve">    </t>
    </r>
    <r>
      <rPr>
        <sz val="11"/>
        <color theme="1"/>
        <rFont val="Calibri"/>
        <family val="2"/>
        <scheme val="minor"/>
      </rPr>
      <t>Getting involved in strategy development &amp; decision-making</t>
    </r>
  </si>
  <si>
    <t>High score</t>
  </si>
  <si>
    <t>Medium score</t>
  </si>
  <si>
    <t>22-25</t>
  </si>
  <si>
    <t>17-21</t>
  </si>
  <si>
    <t>Low score</t>
  </si>
  <si>
    <t>16 or lower</t>
  </si>
  <si>
    <t>18-20</t>
  </si>
  <si>
    <t>Rationale</t>
  </si>
  <si>
    <t>Need to score 4s and 5s with no more than three 4s</t>
  </si>
  <si>
    <t>Need to score three 3s and two 4s as a minimum</t>
  </si>
  <si>
    <t>C. Addressing total wellbeing at the individual level (personalization at scale)</t>
  </si>
  <si>
    <t>D. Offering a consumer-grade communications &amp; shopping experience</t>
  </si>
  <si>
    <t>E. Use of data and analytics to drive decision-making and engagement</t>
  </si>
  <si>
    <t>31-35</t>
  </si>
  <si>
    <t>24-30</t>
  </si>
  <si>
    <t>23 or lower</t>
  </si>
  <si>
    <t>21-25</t>
  </si>
  <si>
    <t>Will typically need two 4s and a 5</t>
  </si>
  <si>
    <t>Will typically need to score 3s in two questions with one with a 4</t>
  </si>
  <si>
    <t>Will typically need at least three 4s and two 5s</t>
  </si>
  <si>
    <t>23-30</t>
  </si>
  <si>
    <t>Will typicallly need at least three 3s and two 4s</t>
  </si>
  <si>
    <t>22 or lower</t>
  </si>
  <si>
    <t>66-75</t>
  </si>
  <si>
    <t>233-265</t>
  </si>
  <si>
    <t>Typically need three 5s and two 4s</t>
  </si>
  <si>
    <t>Will typically need at least three 4s and two 3s</t>
  </si>
  <si>
    <t>Not at all</t>
  </si>
  <si>
    <t>Very extensively</t>
  </si>
  <si>
    <t>Not at all satisfied</t>
  </si>
  <si>
    <t>Very satisfied</t>
  </si>
  <si>
    <t>Not at all important</t>
  </si>
  <si>
    <t>Very important</t>
  </si>
  <si>
    <t>Not at all effective</t>
  </si>
  <si>
    <t>Very effective</t>
  </si>
  <si>
    <t>Extremely well</t>
  </si>
  <si>
    <r>
      <t>o</t>
    </r>
    <r>
      <rPr>
        <sz val="7"/>
        <color theme="1"/>
        <rFont val="Times New Roman"/>
        <family val="1"/>
      </rPr>
      <t xml:space="preserve">   </t>
    </r>
    <r>
      <rPr>
        <sz val="11"/>
        <color theme="1"/>
        <rFont val="Calibri"/>
        <family val="2"/>
        <scheme val="minor"/>
      </rPr>
      <t>Within your HR strategy</t>
    </r>
  </si>
  <si>
    <r>
      <t>o</t>
    </r>
    <r>
      <rPr>
        <sz val="7"/>
        <color theme="1"/>
        <rFont val="Times New Roman"/>
        <family val="1"/>
      </rPr>
      <t xml:space="preserve">   </t>
    </r>
    <r>
      <rPr>
        <sz val="11"/>
        <color theme="1"/>
        <rFont val="Calibri"/>
        <family val="2"/>
        <scheme val="minor"/>
      </rPr>
      <t>With your benefits strategy</t>
    </r>
  </si>
  <si>
    <r>
      <t>o</t>
    </r>
    <r>
      <rPr>
        <sz val="7"/>
        <color theme="1"/>
        <rFont val="Times New Roman"/>
        <family val="1"/>
      </rPr>
      <t xml:space="preserve">   </t>
    </r>
    <r>
      <rPr>
        <sz val="11"/>
        <color theme="1"/>
        <rFont val="Calibri"/>
        <family val="2"/>
        <scheme val="minor"/>
      </rPr>
      <t>Employee attraction</t>
    </r>
  </si>
  <si>
    <r>
      <t>o</t>
    </r>
    <r>
      <rPr>
        <sz val="7"/>
        <color theme="1"/>
        <rFont val="Times New Roman"/>
        <family val="1"/>
      </rPr>
      <t xml:space="preserve">   </t>
    </r>
    <r>
      <rPr>
        <sz val="11"/>
        <color theme="1"/>
        <rFont val="Calibri"/>
        <family val="2"/>
        <scheme val="minor"/>
      </rPr>
      <t>Employee retention</t>
    </r>
  </si>
  <si>
    <r>
      <t>o</t>
    </r>
    <r>
      <rPr>
        <sz val="7"/>
        <color theme="1"/>
        <rFont val="Times New Roman"/>
        <family val="1"/>
      </rPr>
      <t xml:space="preserve">   </t>
    </r>
    <r>
      <rPr>
        <sz val="11"/>
        <color theme="1"/>
        <rFont val="Calibri"/>
        <family val="2"/>
        <scheme val="minor"/>
      </rPr>
      <t>Employee experience</t>
    </r>
  </si>
  <si>
    <r>
      <rPr>
        <sz val="7"/>
        <color theme="1"/>
        <rFont val="Times New Roman"/>
        <family val="1"/>
      </rPr>
      <t xml:space="preserve">- </t>
    </r>
    <r>
      <rPr>
        <sz val="11"/>
        <color theme="1"/>
        <rFont val="Calibri"/>
        <family val="2"/>
        <scheme val="minor"/>
      </rPr>
      <t>To what extent are you as the benefits leader involved in benefits evaluation and selection?</t>
    </r>
  </si>
  <si>
    <r>
      <t>Benefits Maturity Assessment &amp; Toolkit</t>
    </r>
    <r>
      <rPr>
        <sz val="11"/>
        <color theme="1"/>
        <rFont val="Calibri"/>
        <family val="2"/>
        <scheme val="minor"/>
      </rPr>
      <t xml:space="preserve"> </t>
    </r>
  </si>
  <si>
    <t>The pandemic and its aftermath have re-shaped work, highlighting the importance of total employee wellbeing while bringing benefits to the boardroom. NelsonHall recognizes that benefits play an increased role in supporting wider corporate and HR objectives in this environment.</t>
  </si>
  <si>
    <t>Benefits have become a tangible expression of company culture and critical to driving the overall success of any organization. We believe there are five components key to future-proofing and raising the bar of your benefits function performance:</t>
  </si>
  <si>
    <r>
      <t>1)</t>
    </r>
    <r>
      <rPr>
        <b/>
        <sz val="7"/>
        <color theme="1"/>
        <rFont val="Times New Roman"/>
        <family val="1"/>
      </rPr>
      <t xml:space="preserve">      </t>
    </r>
    <r>
      <rPr>
        <b/>
        <sz val="11"/>
        <color theme="1"/>
        <rFont val="Calibri"/>
        <family val="2"/>
        <scheme val="minor"/>
      </rPr>
      <t>Connecting benefits to company culture</t>
    </r>
  </si>
  <si>
    <r>
      <t>2)</t>
    </r>
    <r>
      <rPr>
        <b/>
        <sz val="7"/>
        <color theme="1"/>
        <rFont val="Times New Roman"/>
        <family val="1"/>
      </rPr>
      <t xml:space="preserve">      </t>
    </r>
    <r>
      <rPr>
        <b/>
        <sz val="11"/>
        <color theme="1"/>
        <rFont val="Calibri"/>
        <family val="2"/>
        <scheme val="minor"/>
      </rPr>
      <t>Involving the benefits team in strategy development &amp; decision making</t>
    </r>
  </si>
  <si>
    <r>
      <t>3)</t>
    </r>
    <r>
      <rPr>
        <b/>
        <sz val="7"/>
        <color theme="1"/>
        <rFont val="Times New Roman"/>
        <family val="1"/>
      </rPr>
      <t xml:space="preserve">      </t>
    </r>
    <r>
      <rPr>
        <b/>
        <sz val="11"/>
        <color theme="1"/>
        <rFont val="Calibri"/>
        <family val="2"/>
        <scheme val="minor"/>
      </rPr>
      <t>Addressing total wellbeing at the individual level (personalization at scale)</t>
    </r>
  </si>
  <si>
    <r>
      <t>4)</t>
    </r>
    <r>
      <rPr>
        <b/>
        <sz val="7"/>
        <color theme="1"/>
        <rFont val="Times New Roman"/>
        <family val="1"/>
      </rPr>
      <t xml:space="preserve">      </t>
    </r>
    <r>
      <rPr>
        <b/>
        <sz val="11"/>
        <color theme="1"/>
        <rFont val="Calibri"/>
        <family val="2"/>
        <scheme val="minor"/>
      </rPr>
      <t>Offering a consumer-grade communication &amp; shopping experience</t>
    </r>
  </si>
  <si>
    <r>
      <t>5)</t>
    </r>
    <r>
      <rPr>
        <b/>
        <sz val="7"/>
        <color theme="1"/>
        <rFont val="Times New Roman"/>
        <family val="1"/>
      </rPr>
      <t xml:space="preserve">      </t>
    </r>
    <r>
      <rPr>
        <b/>
        <sz val="11"/>
        <color theme="1"/>
        <rFont val="Calibri"/>
        <family val="2"/>
        <scheme val="minor"/>
      </rPr>
      <t>Using data and analytics to drive decision making and engagement</t>
    </r>
  </si>
  <si>
    <t xml:space="preserve">Based on these criteria, Empyrean &amp; NelsonHall have created a short questionnaire to provide a self-assessment snapshot of your benefits program maturity and a supporting toolkit to offer insight into how you can better use benefits to connect with your employees and enrich a culture of total wellbeing. </t>
  </si>
  <si>
    <t>Slider Description (low)</t>
  </si>
  <si>
    <t>Slider Description (high)</t>
  </si>
  <si>
    <t>Example Input</t>
  </si>
  <si>
    <t>How important is that your benefits and benefits operations make a greater contribution to</t>
  </si>
  <si>
    <t>To what extent are you as benefits leader currently involved in delivering upon strategic initiatives?</t>
  </si>
  <si>
    <t>To what extent are you as benefits leader currently involved in HR strategy development?</t>
  </si>
  <si>
    <t>To what extent are you as benefits leader currently involved in talent retention strategies?</t>
  </si>
  <si>
    <t>To what extent does your current benefits technology provide personalized recommendations to employees that drive them towards the most appropriate benefits packages for their individual situation?</t>
  </si>
  <si>
    <t>How satisfied are your employees with their benefits experience for physical health support?</t>
  </si>
  <si>
    <t>LOW</t>
  </si>
  <si>
    <t>How satisfied are your employees with their benefits experience for mental health support?</t>
  </si>
  <si>
    <t>To what extent is your benefits and HR strategy aligned with organizational goals?</t>
  </si>
  <si>
    <t>To what extent has your benefits operations achieved high levels of automation &amp; workflows minimizing both the user "clicks"and the number of user interfaces and ensuring effective data flows from enrollment to claim?</t>
  </si>
  <si>
    <t>To what extent does your current benefits technology alert employees to potential wellness opportunities such as telehealth, disease management, and mental health support?</t>
  </si>
  <si>
    <t>How effective is your overall benefits communication?</t>
  </si>
  <si>
    <t xml:space="preserve">SCORING BOUNDARIES: </t>
  </si>
  <si>
    <t>Example Result
(from scoring bondary)</t>
  </si>
  <si>
    <t>Notes:</t>
  </si>
  <si>
    <t xml:space="preserve">slider </t>
  </si>
  <si>
    <t xml:space="preserve">The answers to questions needed to be coded as either: </t>
  </si>
  <si>
    <t xml:space="preserve">uses a range of 5 points,  a description on the bottom and top of the scale is provided to assist users. </t>
  </si>
  <si>
    <t>Each question has a score</t>
  </si>
  <si>
    <t>e.g 1-5</t>
  </si>
  <si>
    <t>An example of scoring is provided in the green columns M, N and O on the next sheet</t>
  </si>
  <si>
    <t>Low</t>
  </si>
  <si>
    <t>Less than 18</t>
  </si>
  <si>
    <t>To what extent are your employees adopting the right-fit benefits plan you expected?</t>
  </si>
  <si>
    <t>How well do you believe your employees understand how to shop for and find value in your benefits offerings?</t>
  </si>
  <si>
    <t>How often does your organization measure employee benefits satisfaction and engagement?</t>
  </si>
  <si>
    <t>slider values are 1 - 5</t>
  </si>
  <si>
    <t>To what extent are you as benefits leader involved in employee satisfaction surveys?</t>
  </si>
  <si>
    <r>
      <t>E.</t>
    </r>
    <r>
      <rPr>
        <sz val="7"/>
        <color theme="1"/>
        <rFont val="Times New Roman"/>
        <family val="1"/>
      </rPr>
      <t xml:space="preserve">    </t>
    </r>
    <r>
      <rPr>
        <sz val="11"/>
        <color theme="1"/>
        <rFont val="Calibri"/>
        <family val="2"/>
        <scheme val="minor"/>
      </rPr>
      <t>Boundaries</t>
    </r>
  </si>
  <si>
    <r>
      <t>D.</t>
    </r>
    <r>
      <rPr>
        <sz val="7"/>
        <color theme="1"/>
        <rFont val="Times New Roman"/>
        <family val="1"/>
      </rPr>
      <t xml:space="preserve">    </t>
    </r>
    <r>
      <rPr>
        <sz val="11"/>
        <color theme="1"/>
        <rFont val="Calibri"/>
        <family val="2"/>
        <scheme val="minor"/>
      </rPr>
      <t>Boundaries</t>
    </r>
  </si>
  <si>
    <r>
      <t>C.</t>
    </r>
    <r>
      <rPr>
        <sz val="7"/>
        <color theme="1"/>
        <rFont val="Times New Roman"/>
        <family val="1"/>
      </rPr>
      <t xml:space="preserve">    </t>
    </r>
    <r>
      <rPr>
        <sz val="11"/>
        <color theme="1"/>
        <rFont val="Calibri"/>
        <family val="2"/>
        <scheme val="minor"/>
      </rPr>
      <t>Boundaries</t>
    </r>
  </si>
  <si>
    <r>
      <t>B.</t>
    </r>
    <r>
      <rPr>
        <sz val="7"/>
        <color theme="1"/>
        <rFont val="Times New Roman"/>
        <family val="1"/>
      </rPr>
      <t xml:space="preserve">    </t>
    </r>
    <r>
      <rPr>
        <sz val="11"/>
        <color theme="1"/>
        <rFont val="Calibri"/>
        <family val="2"/>
        <scheme val="minor"/>
      </rPr>
      <t>Boundaries</t>
    </r>
  </si>
  <si>
    <r>
      <t>A.</t>
    </r>
    <r>
      <rPr>
        <sz val="7"/>
        <color theme="1"/>
        <rFont val="Times New Roman"/>
        <family val="1"/>
      </rPr>
      <t xml:space="preserve">    </t>
    </r>
    <r>
      <rPr>
        <sz val="10"/>
        <color theme="1"/>
        <rFont val="Times New Roman"/>
        <family val="1"/>
      </rPr>
      <t>Boundaries</t>
    </r>
  </si>
  <si>
    <t>To what extent is building a more positive workplace culture a critical element</t>
  </si>
  <si>
    <t xml:space="preserve"> 1 Not at all</t>
  </si>
  <si>
    <t>2 Ad hoc</t>
  </si>
  <si>
    <t>3 Annually</t>
  </si>
  <si>
    <t>5 Continuously</t>
  </si>
  <si>
    <t>= HIGH</t>
  </si>
  <si>
    <t>= LOW</t>
  </si>
  <si>
    <t>= MEDIUM</t>
  </si>
  <si>
    <t>Calc 
(=value x weighting(I) )</t>
  </si>
  <si>
    <t xml:space="preserve">Section Total </t>
  </si>
  <si>
    <t xml:space="preserve">Overall Calc (Section value X weighting (II) </t>
  </si>
  <si>
    <t xml:space="preserve">The sections are weighted based on (II) to provide an overall score </t>
  </si>
  <si>
    <t>The score is multiplied by the weighting (I) to produce the total for that section.</t>
  </si>
  <si>
    <t>Overall Boundaries</t>
  </si>
  <si>
    <t>(II) Section weighting</t>
  </si>
  <si>
    <t>(I) Question weighting</t>
  </si>
  <si>
    <t>The scoring boundary marks required for a H, M, L result is listed in column R and  S</t>
  </si>
  <si>
    <t>Coding instructions:</t>
  </si>
  <si>
    <t>4 Regularly</t>
  </si>
  <si>
    <t>To what extent does your current benefits administration platform provide analytics to understand and optimize benefits program performance?</t>
  </si>
  <si>
    <t>To what extent does your current benefits administration platform provide analytics to assess plan providers and plan quality?</t>
  </si>
  <si>
    <t xml:space="preserve">Will typically need two 5s and two </t>
  </si>
  <si>
    <t>15-21</t>
  </si>
  <si>
    <t>14 or lower</t>
  </si>
  <si>
    <t>45-65</t>
  </si>
  <si>
    <t>42 or lower</t>
  </si>
  <si>
    <t>173-232</t>
  </si>
  <si>
    <t>less than 173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</si>
</sst>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7"/>
      <color theme="1"/>
      <name val="Times New Roman"/>
      <family val="1"/>
    </font>
    <font>
      <sz val="11"/>
      <color theme="1"/>
      <name val="Courier New"/>
      <family val="3"/>
    </font>
    <font>
      <sz val="11"/>
      <color theme="1"/>
      <name val="Calibri"/>
      <family val="1"/>
      <scheme val="minor"/>
    </font>
    <font>
      <b/>
      <sz val="11"/>
      <color theme="1"/>
      <name val="Calibri"/>
      <family val="2"/>
      <scheme val="minor"/>
    </font>
    <font>
      <b/>
      <sz val="7"/>
      <color theme="1"/>
      <name val="Times New Roman"/>
      <family val="1"/>
    </font>
    <font>
      <sz val="11"/>
      <color theme="0"/>
      <name val="Calibri"/>
      <family val="2"/>
      <scheme val="minor"/>
    </font>
    <font>
      <sz val="10"/>
      <color theme="1"/>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0" fillId="0" borderId="0" xfId="0" quotePrefix="1"/>
    <xf numFmtId="0" fontId="0" fillId="0" borderId="0" xfId="0" applyFill="1" applyAlignment="1">
      <alignment horizontal="left" vertical="center" wrapText="1"/>
    </xf>
    <xf numFmtId="0" fontId="0" fillId="0" borderId="0" xfId="0" applyFill="1" applyAlignment="1">
      <alignment wrapText="1"/>
    </xf>
    <xf numFmtId="0" fontId="2" fillId="0" borderId="0" xfId="0" applyFont="1" applyFill="1" applyAlignment="1">
      <alignment horizontal="left" vertical="center" wrapText="1"/>
    </xf>
    <xf numFmtId="0" fontId="0" fillId="0" borderId="0" xfId="0" applyFill="1"/>
    <xf numFmtId="0" fontId="0" fillId="0" borderId="0" xfId="0" quotePrefix="1" applyFill="1"/>
    <xf numFmtId="0" fontId="0" fillId="0" borderId="0" xfId="0" quotePrefix="1" applyFill="1" applyAlignment="1">
      <alignment horizontal="left" vertical="center" wrapText="1"/>
    </xf>
    <xf numFmtId="0" fontId="3" fillId="0" borderId="0" xfId="0" quotePrefix="1" applyFont="1" applyFill="1" applyAlignment="1">
      <alignment horizontal="left" vertical="center" wrapText="1"/>
    </xf>
    <xf numFmtId="0" fontId="0" fillId="2" borderId="0" xfId="0" quotePrefix="1" applyFill="1" applyAlignment="1">
      <alignment horizontal="left" vertical="center" wrapText="1"/>
    </xf>
    <xf numFmtId="0" fontId="0" fillId="2" borderId="0" xfId="0" applyFill="1"/>
    <xf numFmtId="0" fontId="0" fillId="2" borderId="0" xfId="0" quotePrefix="1" applyFill="1"/>
    <xf numFmtId="0" fontId="0" fillId="2" borderId="0" xfId="0" quotePrefix="1" applyFill="1" applyAlignment="1">
      <alignment wrapText="1"/>
    </xf>
    <xf numFmtId="0" fontId="0" fillId="0" borderId="0" xfId="0" quotePrefix="1" applyFill="1" applyAlignment="1">
      <alignment wrapText="1"/>
    </xf>
    <xf numFmtId="0" fontId="0" fillId="0" borderId="0" xfId="0" quotePrefix="1" applyFill="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4" fillId="0" borderId="0" xfId="0" applyFont="1" applyAlignment="1">
      <alignment horizontal="left" vertical="center" wrapText="1"/>
    </xf>
    <xf numFmtId="0" fontId="0" fillId="0" borderId="0" xfId="0" applyAlignment="1">
      <alignment wrapText="1"/>
    </xf>
    <xf numFmtId="0" fontId="0" fillId="3" borderId="0" xfId="0" applyFill="1" applyAlignment="1">
      <alignment wrapText="1"/>
    </xf>
    <xf numFmtId="0" fontId="0" fillId="5" borderId="0" xfId="0" applyFill="1" applyAlignment="1">
      <alignment horizontal="left" vertical="center" wrapText="1"/>
    </xf>
    <xf numFmtId="0" fontId="0" fillId="5" borderId="0" xfId="0" applyFill="1" applyAlignment="1">
      <alignment wrapText="1"/>
    </xf>
    <xf numFmtId="0" fontId="0" fillId="6" borderId="0" xfId="0" applyFill="1" applyAlignment="1">
      <alignment wrapText="1"/>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vertical="center"/>
    </xf>
    <xf numFmtId="0" fontId="0" fillId="3" borderId="0" xfId="0" applyFill="1" applyAlignment="1">
      <alignment horizontal="center" wrapText="1"/>
    </xf>
    <xf numFmtId="0" fontId="0" fillId="2" borderId="0" xfId="0" applyFill="1" applyAlignment="1">
      <alignment horizontal="center"/>
    </xf>
    <xf numFmtId="0" fontId="0" fillId="0" borderId="0" xfId="0" applyFill="1" applyAlignment="1">
      <alignment horizontal="center"/>
    </xf>
    <xf numFmtId="0" fontId="4" fillId="0" borderId="0" xfId="0" applyFont="1"/>
    <xf numFmtId="0" fontId="4" fillId="7" borderId="0" xfId="0" applyFont="1" applyFill="1" applyAlignment="1"/>
    <xf numFmtId="0" fontId="0" fillId="7" borderId="0" xfId="0" applyFill="1" applyAlignment="1"/>
    <xf numFmtId="0" fontId="0" fillId="7" borderId="0" xfId="0" applyFill="1" applyAlignment="1">
      <alignment wrapText="1"/>
    </xf>
    <xf numFmtId="0" fontId="0" fillId="6" borderId="0" xfId="0" applyFill="1" applyAlignment="1">
      <alignment horizontal="center" wrapText="1"/>
    </xf>
    <xf numFmtId="0" fontId="4" fillId="0" borderId="0" xfId="0" applyFont="1" applyAlignment="1">
      <alignment horizontal="center"/>
    </xf>
    <xf numFmtId="0" fontId="4" fillId="0" borderId="0" xfId="0" quotePrefix="1" applyFont="1" applyAlignment="1">
      <alignment horizontal="center"/>
    </xf>
    <xf numFmtId="0" fontId="4" fillId="6" borderId="0" xfId="0" applyFont="1" applyFill="1" applyAlignment="1">
      <alignment horizontal="center"/>
    </xf>
    <xf numFmtId="0" fontId="6"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47C68-6D90-4FC5-85C8-322F3EEC50B0}">
  <dimension ref="A2:A10"/>
  <sheetViews>
    <sheetView workbookViewId="0">
      <selection activeCell="A10" sqref="A10"/>
    </sheetView>
  </sheetViews>
  <sheetFormatPr baseColWidth="10" defaultColWidth="8.83203125" defaultRowHeight="15"/>
  <cols>
    <col min="1" max="1" width="71.5" style="18" customWidth="1"/>
  </cols>
  <sheetData>
    <row r="2" spans="1:1" ht="16">
      <c r="A2" s="15" t="s">
        <v>44</v>
      </c>
    </row>
    <row r="3" spans="1:1" ht="64">
      <c r="A3" s="16" t="s">
        <v>45</v>
      </c>
    </row>
    <row r="4" spans="1:1" ht="48">
      <c r="A4" s="16" t="s">
        <v>46</v>
      </c>
    </row>
    <row r="5" spans="1:1" ht="16">
      <c r="A5" s="17" t="s">
        <v>47</v>
      </c>
    </row>
    <row r="6" spans="1:1" ht="16">
      <c r="A6" s="17" t="s">
        <v>48</v>
      </c>
    </row>
    <row r="7" spans="1:1" ht="16">
      <c r="A7" s="17" t="s">
        <v>49</v>
      </c>
    </row>
    <row r="8" spans="1:1" ht="16">
      <c r="A8" s="17" t="s">
        <v>50</v>
      </c>
    </row>
    <row r="9" spans="1:1" ht="16">
      <c r="A9" s="17" t="s">
        <v>51</v>
      </c>
    </row>
    <row r="10" spans="1:1" ht="64">
      <c r="A10" s="16" t="s">
        <v>52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0433-286A-4DE1-AE98-2F7745FDE4B9}">
  <dimension ref="B2:D17"/>
  <sheetViews>
    <sheetView workbookViewId="0">
      <selection activeCell="A6" sqref="A6:XFD6"/>
    </sheetView>
  </sheetViews>
  <sheetFormatPr baseColWidth="10" defaultColWidth="8.83203125" defaultRowHeight="15"/>
  <sheetData>
    <row r="2" spans="2:4">
      <c r="B2" s="30" t="s">
        <v>106</v>
      </c>
    </row>
    <row r="4" spans="2:4">
      <c r="B4" t="s">
        <v>72</v>
      </c>
    </row>
    <row r="5" spans="2:4">
      <c r="B5">
        <v>1</v>
      </c>
      <c r="C5" t="s">
        <v>71</v>
      </c>
      <c r="D5" t="s">
        <v>73</v>
      </c>
    </row>
    <row r="8" spans="2:4">
      <c r="B8" t="s">
        <v>74</v>
      </c>
    </row>
    <row r="9" spans="2:4">
      <c r="C9" t="s">
        <v>75</v>
      </c>
    </row>
    <row r="11" spans="2:4">
      <c r="B11" t="s">
        <v>101</v>
      </c>
    </row>
    <row r="13" spans="2:4">
      <c r="B13" t="s">
        <v>76</v>
      </c>
    </row>
    <row r="15" spans="2:4">
      <c r="B15" t="s">
        <v>105</v>
      </c>
    </row>
    <row r="17" spans="2:2">
      <c r="B17"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1D1CC-0DF6-4C0E-A3C5-CAF3E42CB28F}">
  <sheetPr>
    <pageSetUpPr fitToPage="1"/>
  </sheetPr>
  <dimension ref="A1:T35"/>
  <sheetViews>
    <sheetView showGridLines="0" tabSelected="1" topLeftCell="B1" zoomScale="66" zoomScaleNormal="75" workbookViewId="0">
      <pane ySplit="1" topLeftCell="A3" activePane="bottomLeft" state="frozen"/>
      <selection pane="bottomLeft" activeCell="H28" sqref="H28:H30"/>
    </sheetView>
  </sheetViews>
  <sheetFormatPr baseColWidth="10" defaultColWidth="8.83203125" defaultRowHeight="15"/>
  <cols>
    <col min="1" max="1" width="89.1640625" style="3" customWidth="1"/>
    <col min="2" max="2" width="20.5" customWidth="1"/>
    <col min="3" max="4" width="16" customWidth="1"/>
    <col min="5" max="5" width="14.5" bestFit="1" customWidth="1"/>
    <col min="6" max="6" width="14.5" customWidth="1"/>
    <col min="7" max="7" width="14.5" bestFit="1" customWidth="1"/>
    <col min="8" max="8" width="14.5" customWidth="1"/>
    <col min="9" max="9" width="11.5" style="23" customWidth="1"/>
    <col min="10" max="10" width="10" style="23" customWidth="1"/>
    <col min="11" max="11" width="8.6640625" style="23"/>
    <col min="12" max="12" width="13.6640625" style="23" customWidth="1"/>
    <col min="13" max="14" width="14.33203125" style="23" customWidth="1"/>
    <col min="15" max="15" width="14.33203125" customWidth="1"/>
    <col min="16" max="16" width="22.1640625" customWidth="1"/>
    <col min="18" max="18" width="1.83203125" customWidth="1"/>
    <col min="19" max="19" width="17.6640625" customWidth="1"/>
  </cols>
  <sheetData>
    <row r="1" spans="1:20" s="19" customFormat="1" ht="48">
      <c r="B1" s="21" t="s">
        <v>53</v>
      </c>
      <c r="C1" s="38" t="s">
        <v>82</v>
      </c>
      <c r="D1" s="38"/>
      <c r="E1" s="38"/>
      <c r="F1" s="38"/>
      <c r="G1" s="38"/>
      <c r="H1" s="21" t="s">
        <v>54</v>
      </c>
      <c r="I1" s="27" t="s">
        <v>104</v>
      </c>
      <c r="J1" s="27" t="s">
        <v>103</v>
      </c>
      <c r="K1" s="34" t="s">
        <v>55</v>
      </c>
      <c r="L1" s="34" t="s">
        <v>97</v>
      </c>
      <c r="M1" s="34" t="s">
        <v>69</v>
      </c>
      <c r="N1" s="34" t="s">
        <v>98</v>
      </c>
      <c r="O1" s="22" t="s">
        <v>99</v>
      </c>
      <c r="P1" s="31" t="s">
        <v>68</v>
      </c>
      <c r="Q1" s="32"/>
      <c r="R1" s="33"/>
      <c r="T1" s="19" t="s">
        <v>70</v>
      </c>
    </row>
    <row r="2" spans="1:20" ht="32" customHeight="1">
      <c r="A2" s="20" t="s">
        <v>0</v>
      </c>
      <c r="J2" s="23">
        <v>1</v>
      </c>
      <c r="K2" s="35"/>
      <c r="L2" s="35"/>
      <c r="M2" s="35" t="s">
        <v>62</v>
      </c>
      <c r="N2" s="35">
        <v>12</v>
      </c>
      <c r="O2" s="23">
        <f>N2*J2</f>
        <v>12</v>
      </c>
      <c r="P2" s="20" t="s">
        <v>88</v>
      </c>
    </row>
    <row r="3" spans="1:20" ht="16">
      <c r="A3" s="2" t="s">
        <v>89</v>
      </c>
      <c r="O3" s="35"/>
      <c r="P3" t="s">
        <v>2</v>
      </c>
      <c r="Q3" s="1" t="s">
        <v>4</v>
      </c>
      <c r="T3" t="s">
        <v>9</v>
      </c>
    </row>
    <row r="4" spans="1:20" ht="16">
      <c r="A4" s="4" t="s">
        <v>38</v>
      </c>
      <c r="B4" t="s">
        <v>29</v>
      </c>
      <c r="C4" s="24">
        <v>1</v>
      </c>
      <c r="D4" s="24">
        <v>2</v>
      </c>
      <c r="E4" s="24">
        <v>3</v>
      </c>
      <c r="F4" s="24">
        <v>4</v>
      </c>
      <c r="G4" s="24">
        <v>5</v>
      </c>
      <c r="H4" t="s">
        <v>30</v>
      </c>
      <c r="I4" s="23">
        <v>1</v>
      </c>
      <c r="K4" s="23">
        <v>2</v>
      </c>
      <c r="L4" s="23">
        <v>2</v>
      </c>
      <c r="O4" s="23"/>
      <c r="P4" t="s">
        <v>3</v>
      </c>
      <c r="Q4" s="1" t="s">
        <v>5</v>
      </c>
      <c r="S4" s="1"/>
      <c r="T4" t="s">
        <v>10</v>
      </c>
    </row>
    <row r="5" spans="1:20" ht="16">
      <c r="A5" s="4" t="s">
        <v>39</v>
      </c>
      <c r="B5" t="s">
        <v>29</v>
      </c>
      <c r="C5" s="24">
        <v>1</v>
      </c>
      <c r="D5" s="24">
        <v>2</v>
      </c>
      <c r="E5" s="24">
        <v>3</v>
      </c>
      <c r="F5" s="24">
        <v>4</v>
      </c>
      <c r="G5" s="24">
        <v>5</v>
      </c>
      <c r="H5" t="s">
        <v>30</v>
      </c>
      <c r="I5" s="23">
        <v>1</v>
      </c>
      <c r="K5" s="23">
        <v>2</v>
      </c>
      <c r="L5" s="23">
        <v>2</v>
      </c>
      <c r="O5" s="23"/>
      <c r="P5" t="s">
        <v>6</v>
      </c>
      <c r="Q5" t="s">
        <v>7</v>
      </c>
      <c r="S5" s="1"/>
      <c r="T5" t="s">
        <v>11</v>
      </c>
    </row>
    <row r="6" spans="1:20" ht="16">
      <c r="A6" s="7" t="s">
        <v>56</v>
      </c>
      <c r="O6" s="23"/>
    </row>
    <row r="7" spans="1:20" ht="16">
      <c r="A7" s="4" t="s">
        <v>40</v>
      </c>
      <c r="B7" t="s">
        <v>33</v>
      </c>
      <c r="C7" s="24">
        <v>1</v>
      </c>
      <c r="D7" s="24">
        <v>2</v>
      </c>
      <c r="E7" s="24">
        <v>3</v>
      </c>
      <c r="F7" s="24">
        <v>4</v>
      </c>
      <c r="G7" s="24">
        <v>5</v>
      </c>
      <c r="H7" t="s">
        <v>34</v>
      </c>
      <c r="I7" s="23">
        <v>1</v>
      </c>
      <c r="K7" s="23">
        <v>3</v>
      </c>
      <c r="L7" s="23">
        <v>3</v>
      </c>
      <c r="O7" s="23"/>
    </row>
    <row r="8" spans="1:20" ht="16">
      <c r="A8" s="4" t="s">
        <v>41</v>
      </c>
      <c r="B8" t="s">
        <v>33</v>
      </c>
      <c r="C8" s="24">
        <v>1</v>
      </c>
      <c r="D8" s="24">
        <v>2</v>
      </c>
      <c r="E8" s="24">
        <v>3</v>
      </c>
      <c r="F8" s="24">
        <v>4</v>
      </c>
      <c r="G8" s="24">
        <v>5</v>
      </c>
      <c r="H8" t="s">
        <v>34</v>
      </c>
      <c r="I8" s="23">
        <v>1</v>
      </c>
      <c r="K8" s="23">
        <v>1</v>
      </c>
      <c r="L8" s="23">
        <v>1</v>
      </c>
      <c r="O8" s="23"/>
    </row>
    <row r="9" spans="1:20" ht="16">
      <c r="A9" s="4" t="s">
        <v>42</v>
      </c>
      <c r="B9" t="s">
        <v>33</v>
      </c>
      <c r="C9" s="24">
        <v>1</v>
      </c>
      <c r="D9" s="24">
        <v>2</v>
      </c>
      <c r="E9" s="24">
        <v>3</v>
      </c>
      <c r="F9" s="24">
        <v>4</v>
      </c>
      <c r="G9" s="24">
        <v>5</v>
      </c>
      <c r="H9" t="s">
        <v>34</v>
      </c>
      <c r="I9" s="23">
        <v>1</v>
      </c>
      <c r="K9" s="23">
        <v>4</v>
      </c>
      <c r="L9" s="23">
        <v>4</v>
      </c>
      <c r="O9" s="23"/>
    </row>
    <row r="10" spans="1:20" ht="34.5" customHeight="1">
      <c r="A10" s="20" t="s">
        <v>1</v>
      </c>
      <c r="J10" s="23">
        <v>1</v>
      </c>
      <c r="K10" s="35"/>
      <c r="L10" s="35"/>
      <c r="M10" s="36" t="s">
        <v>96</v>
      </c>
      <c r="N10" s="36">
        <v>28</v>
      </c>
      <c r="O10" s="23">
        <f>N10*J10</f>
        <v>28</v>
      </c>
      <c r="P10" s="20" t="s">
        <v>87</v>
      </c>
      <c r="Q10" s="10"/>
    </row>
    <row r="11" spans="1:20" s="10" customFormat="1" ht="16">
      <c r="A11" s="9" t="s">
        <v>57</v>
      </c>
      <c r="B11" s="26" t="s">
        <v>29</v>
      </c>
      <c r="C11" s="25">
        <v>1</v>
      </c>
      <c r="D11" s="25">
        <v>2</v>
      </c>
      <c r="E11" s="25">
        <v>3</v>
      </c>
      <c r="F11" s="25">
        <v>4</v>
      </c>
      <c r="G11" s="25">
        <v>5</v>
      </c>
      <c r="H11" s="26" t="s">
        <v>30</v>
      </c>
      <c r="I11" s="28">
        <v>1</v>
      </c>
      <c r="J11" s="28"/>
      <c r="K11" s="28">
        <v>4</v>
      </c>
      <c r="L11" s="28">
        <f>K11*I11</f>
        <v>4</v>
      </c>
      <c r="M11" s="28"/>
      <c r="N11" s="28"/>
      <c r="O11" s="28"/>
      <c r="P11" t="s">
        <v>2</v>
      </c>
      <c r="Q11" s="1" t="s">
        <v>15</v>
      </c>
    </row>
    <row r="12" spans="1:20" ht="16">
      <c r="A12" s="7" t="s">
        <v>58</v>
      </c>
      <c r="B12" t="s">
        <v>29</v>
      </c>
      <c r="C12" s="25">
        <v>1</v>
      </c>
      <c r="D12" s="25">
        <v>2</v>
      </c>
      <c r="E12" s="25">
        <v>3</v>
      </c>
      <c r="F12" s="25">
        <v>4</v>
      </c>
      <c r="G12" s="25">
        <v>5</v>
      </c>
      <c r="H12" t="s">
        <v>30</v>
      </c>
      <c r="I12" s="23">
        <v>1</v>
      </c>
      <c r="K12" s="23">
        <v>4</v>
      </c>
      <c r="L12" s="28">
        <f>K12*I12</f>
        <v>4</v>
      </c>
      <c r="O12" s="23"/>
      <c r="P12" t="s">
        <v>3</v>
      </c>
      <c r="Q12" s="1" t="s">
        <v>16</v>
      </c>
      <c r="S12" s="1"/>
      <c r="T12" t="s">
        <v>27</v>
      </c>
    </row>
    <row r="13" spans="1:20" ht="16">
      <c r="A13" s="9" t="s">
        <v>59</v>
      </c>
      <c r="B13" t="s">
        <v>29</v>
      </c>
      <c r="C13" s="25">
        <v>1</v>
      </c>
      <c r="D13" s="25">
        <v>2</v>
      </c>
      <c r="E13" s="25">
        <v>3</v>
      </c>
      <c r="F13" s="25">
        <v>4</v>
      </c>
      <c r="G13" s="25">
        <v>5</v>
      </c>
      <c r="H13" t="s">
        <v>30</v>
      </c>
      <c r="I13" s="23">
        <v>2</v>
      </c>
      <c r="K13" s="23">
        <v>4</v>
      </c>
      <c r="L13" s="28">
        <f>K13*I13</f>
        <v>8</v>
      </c>
      <c r="O13" s="23"/>
      <c r="P13" t="s">
        <v>6</v>
      </c>
      <c r="Q13" t="s">
        <v>17</v>
      </c>
      <c r="S13" s="1"/>
      <c r="T13" t="s">
        <v>28</v>
      </c>
    </row>
    <row r="14" spans="1:20" ht="16">
      <c r="A14" s="8" t="s">
        <v>43</v>
      </c>
      <c r="B14" t="s">
        <v>29</v>
      </c>
      <c r="C14" s="25">
        <v>1</v>
      </c>
      <c r="D14" s="25">
        <v>2</v>
      </c>
      <c r="E14" s="25">
        <v>3</v>
      </c>
      <c r="F14" s="25">
        <v>4</v>
      </c>
      <c r="G14" s="25">
        <v>5</v>
      </c>
      <c r="H14" t="s">
        <v>30</v>
      </c>
      <c r="I14" s="23">
        <v>2</v>
      </c>
      <c r="K14" s="23">
        <v>4</v>
      </c>
      <c r="L14" s="28">
        <f>K14*I14</f>
        <v>8</v>
      </c>
      <c r="O14" s="23"/>
    </row>
    <row r="15" spans="1:20" s="10" customFormat="1" ht="16">
      <c r="A15" s="9" t="s">
        <v>64</v>
      </c>
      <c r="B15" t="s">
        <v>29</v>
      </c>
      <c r="C15" s="25">
        <v>1</v>
      </c>
      <c r="D15" s="25">
        <v>2</v>
      </c>
      <c r="E15" s="25">
        <v>3</v>
      </c>
      <c r="F15" s="25">
        <v>4</v>
      </c>
      <c r="G15" s="25">
        <v>5</v>
      </c>
      <c r="H15" t="s">
        <v>30</v>
      </c>
      <c r="I15" s="28">
        <v>1</v>
      </c>
      <c r="J15" s="28"/>
      <c r="K15" s="28">
        <v>4</v>
      </c>
      <c r="L15" s="28">
        <f>K15*I15</f>
        <v>4</v>
      </c>
      <c r="M15" s="28"/>
      <c r="N15" s="28"/>
      <c r="O15" s="28"/>
      <c r="S15" s="11"/>
    </row>
    <row r="16" spans="1:20" s="10" customFormat="1" ht="32.5" customHeight="1">
      <c r="A16" s="20" t="s">
        <v>12</v>
      </c>
      <c r="I16" s="28"/>
      <c r="J16" s="28">
        <v>1</v>
      </c>
      <c r="K16" s="28"/>
      <c r="L16" s="35"/>
      <c r="M16" s="36" t="s">
        <v>95</v>
      </c>
      <c r="N16" s="36">
        <v>15</v>
      </c>
      <c r="O16" s="23">
        <f>N16*J16</f>
        <v>15</v>
      </c>
      <c r="P16" s="20" t="s">
        <v>86</v>
      </c>
      <c r="Q16"/>
    </row>
    <row r="17" spans="1:20" ht="32">
      <c r="A17" s="7" t="s">
        <v>60</v>
      </c>
      <c r="B17" s="26" t="s">
        <v>29</v>
      </c>
      <c r="C17" s="25">
        <v>1</v>
      </c>
      <c r="D17" s="25">
        <v>2</v>
      </c>
      <c r="E17" s="25">
        <v>3</v>
      </c>
      <c r="F17" s="25">
        <v>4</v>
      </c>
      <c r="G17" s="25">
        <v>5</v>
      </c>
      <c r="H17" s="26" t="s">
        <v>30</v>
      </c>
      <c r="I17" s="23">
        <v>2</v>
      </c>
      <c r="K17" s="23">
        <v>3</v>
      </c>
      <c r="L17" s="28">
        <f>K17*I17</f>
        <v>6</v>
      </c>
      <c r="O17" s="23"/>
      <c r="P17" s="5" t="s">
        <v>2</v>
      </c>
      <c r="Q17" s="6" t="s">
        <v>18</v>
      </c>
    </row>
    <row r="18" spans="1:20" s="5" customFormat="1" ht="16">
      <c r="A18" s="7" t="s">
        <v>61</v>
      </c>
      <c r="B18" t="s">
        <v>31</v>
      </c>
      <c r="C18" s="25">
        <v>1</v>
      </c>
      <c r="D18" s="25">
        <v>2</v>
      </c>
      <c r="E18" s="25">
        <v>3</v>
      </c>
      <c r="F18" s="25">
        <v>4</v>
      </c>
      <c r="G18" s="25">
        <v>5</v>
      </c>
      <c r="H18" t="s">
        <v>32</v>
      </c>
      <c r="I18" s="29">
        <v>1</v>
      </c>
      <c r="J18" s="29"/>
      <c r="K18" s="29">
        <v>3</v>
      </c>
      <c r="L18" s="28">
        <f>K18*I18</f>
        <v>3</v>
      </c>
      <c r="M18" s="29"/>
      <c r="N18" s="29"/>
      <c r="O18" s="29"/>
      <c r="P18" t="s">
        <v>3</v>
      </c>
      <c r="Q18" s="1" t="s">
        <v>8</v>
      </c>
      <c r="S18" s="6"/>
      <c r="T18" s="5" t="s">
        <v>19</v>
      </c>
    </row>
    <row r="19" spans="1:20" ht="16">
      <c r="A19" s="7" t="s">
        <v>63</v>
      </c>
      <c r="B19" t="s">
        <v>31</v>
      </c>
      <c r="C19" s="25">
        <v>1</v>
      </c>
      <c r="D19" s="25">
        <v>2</v>
      </c>
      <c r="E19" s="25">
        <v>3</v>
      </c>
      <c r="F19" s="25">
        <v>4</v>
      </c>
      <c r="G19" s="25">
        <v>5</v>
      </c>
      <c r="H19" t="s">
        <v>32</v>
      </c>
      <c r="I19" s="23">
        <v>2</v>
      </c>
      <c r="K19" s="23">
        <v>3</v>
      </c>
      <c r="L19" s="28">
        <f>K19*I19</f>
        <v>6</v>
      </c>
      <c r="O19" s="23"/>
      <c r="P19" t="s">
        <v>77</v>
      </c>
      <c r="Q19" s="1" t="s">
        <v>78</v>
      </c>
      <c r="S19" s="1"/>
      <c r="T19" t="s">
        <v>20</v>
      </c>
    </row>
    <row r="20" spans="1:20" ht="30" customHeight="1">
      <c r="A20" s="20" t="s">
        <v>13</v>
      </c>
      <c r="J20" s="23">
        <v>3</v>
      </c>
      <c r="L20" s="35"/>
      <c r="M20" s="36" t="s">
        <v>94</v>
      </c>
      <c r="N20" s="36">
        <v>31</v>
      </c>
      <c r="O20" s="23">
        <f>N20*J20</f>
        <v>93</v>
      </c>
      <c r="P20" s="20" t="s">
        <v>85</v>
      </c>
      <c r="S20" s="1"/>
    </row>
    <row r="21" spans="1:20" ht="32">
      <c r="A21" s="7" t="s">
        <v>65</v>
      </c>
      <c r="B21" s="26" t="s">
        <v>29</v>
      </c>
      <c r="C21" s="25">
        <v>1</v>
      </c>
      <c r="D21" s="25">
        <v>2</v>
      </c>
      <c r="E21" s="25">
        <v>3</v>
      </c>
      <c r="F21" s="25">
        <v>4</v>
      </c>
      <c r="G21" s="25">
        <v>5</v>
      </c>
      <c r="H21" s="26" t="s">
        <v>30</v>
      </c>
      <c r="I21" s="23">
        <v>1</v>
      </c>
      <c r="K21" s="23">
        <v>4</v>
      </c>
      <c r="L21" s="28">
        <f>K21*I21</f>
        <v>4</v>
      </c>
      <c r="O21" s="23"/>
      <c r="P21" s="5" t="s">
        <v>2</v>
      </c>
      <c r="Q21" s="1" t="s">
        <v>15</v>
      </c>
      <c r="S21" s="1"/>
      <c r="T21" t="s">
        <v>21</v>
      </c>
    </row>
    <row r="22" spans="1:20" ht="32">
      <c r="A22" s="7" t="s">
        <v>66</v>
      </c>
      <c r="B22" s="26" t="s">
        <v>29</v>
      </c>
      <c r="C22" s="25">
        <v>1</v>
      </c>
      <c r="D22" s="25">
        <v>2</v>
      </c>
      <c r="E22" s="25">
        <v>3</v>
      </c>
      <c r="F22" s="25">
        <v>4</v>
      </c>
      <c r="G22" s="25">
        <v>5</v>
      </c>
      <c r="H22" s="26" t="s">
        <v>30</v>
      </c>
      <c r="I22" s="23">
        <v>2</v>
      </c>
      <c r="K22" s="23">
        <v>4</v>
      </c>
      <c r="L22" s="28">
        <f>K22*I22</f>
        <v>8</v>
      </c>
      <c r="O22" s="23"/>
      <c r="P22" s="10" t="s">
        <v>3</v>
      </c>
      <c r="Q22" s="11" t="s">
        <v>22</v>
      </c>
      <c r="S22" s="1"/>
      <c r="T22" s="10" t="s">
        <v>23</v>
      </c>
    </row>
    <row r="23" spans="1:20" s="10" customFormat="1" ht="16">
      <c r="A23" s="12" t="s">
        <v>67</v>
      </c>
      <c r="B23" t="s">
        <v>35</v>
      </c>
      <c r="C23" s="25">
        <v>1</v>
      </c>
      <c r="D23" s="25">
        <v>2</v>
      </c>
      <c r="E23" s="25">
        <v>3</v>
      </c>
      <c r="F23" s="25">
        <v>4</v>
      </c>
      <c r="G23" s="25">
        <v>5</v>
      </c>
      <c r="H23" t="s">
        <v>36</v>
      </c>
      <c r="I23" s="28">
        <v>1</v>
      </c>
      <c r="J23" s="28"/>
      <c r="K23" s="28">
        <v>4</v>
      </c>
      <c r="L23" s="28">
        <f>K23*I23</f>
        <v>4</v>
      </c>
      <c r="M23" s="28"/>
      <c r="N23" s="28"/>
      <c r="O23" s="28"/>
      <c r="P23" s="5" t="s">
        <v>6</v>
      </c>
      <c r="Q23" s="5" t="s">
        <v>24</v>
      </c>
      <c r="S23" s="11"/>
    </row>
    <row r="24" spans="1:20" s="5" customFormat="1" ht="16">
      <c r="A24" s="13" t="s">
        <v>79</v>
      </c>
      <c r="B24" s="26" t="s">
        <v>29</v>
      </c>
      <c r="C24" s="25">
        <v>1</v>
      </c>
      <c r="D24" s="25">
        <v>2</v>
      </c>
      <c r="E24" s="25">
        <v>3</v>
      </c>
      <c r="F24" s="25">
        <v>4</v>
      </c>
      <c r="G24" s="25">
        <v>5</v>
      </c>
      <c r="H24" s="26" t="s">
        <v>30</v>
      </c>
      <c r="I24" s="29">
        <v>1</v>
      </c>
      <c r="J24" s="29"/>
      <c r="K24" s="29">
        <v>5</v>
      </c>
      <c r="L24" s="29">
        <f>K24*I24</f>
        <v>5</v>
      </c>
      <c r="M24" s="29"/>
      <c r="N24" s="29"/>
      <c r="O24" s="29"/>
    </row>
    <row r="25" spans="1:20" s="5" customFormat="1" ht="16">
      <c r="A25" s="13" t="s">
        <v>80</v>
      </c>
      <c r="B25" s="26" t="s">
        <v>29</v>
      </c>
      <c r="C25" s="25">
        <v>1</v>
      </c>
      <c r="D25" s="25">
        <v>2</v>
      </c>
      <c r="E25" s="25">
        <v>3</v>
      </c>
      <c r="F25" s="25">
        <v>4</v>
      </c>
      <c r="G25" s="25">
        <v>5</v>
      </c>
      <c r="H25" t="s">
        <v>37</v>
      </c>
      <c r="I25" s="29">
        <v>2</v>
      </c>
      <c r="J25" s="29"/>
      <c r="K25" s="29">
        <v>5</v>
      </c>
      <c r="L25" s="29">
        <f>K25*I25</f>
        <v>10</v>
      </c>
      <c r="M25" s="29"/>
      <c r="N25" s="29"/>
      <c r="O25" s="29"/>
    </row>
    <row r="26" spans="1:20" ht="27" customHeight="1">
      <c r="A26" s="20" t="s">
        <v>14</v>
      </c>
      <c r="J26" s="23">
        <v>3</v>
      </c>
      <c r="L26" s="35"/>
      <c r="M26" s="36" t="s">
        <v>94</v>
      </c>
      <c r="N26" s="35">
        <v>22</v>
      </c>
      <c r="O26" s="23">
        <f>N26*J26</f>
        <v>66</v>
      </c>
      <c r="P26" s="20" t="s">
        <v>84</v>
      </c>
    </row>
    <row r="27" spans="1:20" s="5" customFormat="1" ht="16">
      <c r="A27" s="14" t="s">
        <v>81</v>
      </c>
      <c r="C27" s="24" t="s">
        <v>90</v>
      </c>
      <c r="D27" s="24" t="s">
        <v>91</v>
      </c>
      <c r="E27" s="24" t="s">
        <v>92</v>
      </c>
      <c r="F27" s="24" t="s">
        <v>107</v>
      </c>
      <c r="G27" s="24" t="s">
        <v>93</v>
      </c>
      <c r="I27" s="29">
        <v>2</v>
      </c>
      <c r="J27" s="29"/>
      <c r="K27" s="29">
        <v>4</v>
      </c>
      <c r="L27" s="29">
        <f>K27*I27</f>
        <v>8</v>
      </c>
      <c r="M27" s="29"/>
      <c r="N27" s="29"/>
      <c r="O27" s="29"/>
    </row>
    <row r="28" spans="1:20" ht="16">
      <c r="A28" s="7" t="s">
        <v>83</v>
      </c>
      <c r="B28" s="26" t="s">
        <v>29</v>
      </c>
      <c r="C28" s="25">
        <v>1</v>
      </c>
      <c r="D28" s="25">
        <v>2</v>
      </c>
      <c r="E28" s="25">
        <v>3</v>
      </c>
      <c r="F28" s="25">
        <v>4</v>
      </c>
      <c r="G28" s="25">
        <v>5</v>
      </c>
      <c r="H28" t="s">
        <v>30</v>
      </c>
      <c r="I28" s="23">
        <v>1</v>
      </c>
      <c r="K28" s="23">
        <v>4</v>
      </c>
      <c r="L28" s="29">
        <f>K28*I28</f>
        <v>4</v>
      </c>
      <c r="O28" s="23"/>
      <c r="P28" t="s">
        <v>2</v>
      </c>
      <c r="Q28" s="1" t="s">
        <v>4</v>
      </c>
      <c r="S28" s="1" t="s">
        <v>25</v>
      </c>
      <c r="T28" t="s">
        <v>110</v>
      </c>
    </row>
    <row r="29" spans="1:20" ht="32">
      <c r="A29" s="7" t="s">
        <v>108</v>
      </c>
      <c r="B29" s="26" t="s">
        <v>29</v>
      </c>
      <c r="C29" s="25">
        <v>1</v>
      </c>
      <c r="D29" s="25">
        <v>2</v>
      </c>
      <c r="E29" s="25">
        <v>3</v>
      </c>
      <c r="F29" s="25">
        <v>4</v>
      </c>
      <c r="G29" s="25">
        <v>5</v>
      </c>
      <c r="H29" t="s">
        <v>30</v>
      </c>
      <c r="I29" s="23">
        <v>1</v>
      </c>
      <c r="K29" s="23">
        <v>5</v>
      </c>
      <c r="L29" s="29">
        <f>K29*I29</f>
        <v>5</v>
      </c>
      <c r="P29" t="s">
        <v>3</v>
      </c>
      <c r="Q29" s="1" t="s">
        <v>111</v>
      </c>
      <c r="S29" s="1" t="s">
        <v>113</v>
      </c>
      <c r="T29" t="s">
        <v>110</v>
      </c>
    </row>
    <row r="30" spans="1:20" ht="32">
      <c r="A30" s="7" t="s">
        <v>109</v>
      </c>
      <c r="B30" s="26" t="s">
        <v>29</v>
      </c>
      <c r="C30" s="25">
        <v>1</v>
      </c>
      <c r="D30" s="25">
        <v>2</v>
      </c>
      <c r="E30" s="25">
        <v>3</v>
      </c>
      <c r="F30" s="25">
        <v>4</v>
      </c>
      <c r="G30" s="25">
        <v>5</v>
      </c>
      <c r="H30" t="s">
        <v>30</v>
      </c>
      <c r="I30" s="23">
        <v>1</v>
      </c>
      <c r="K30" s="23">
        <v>5</v>
      </c>
      <c r="L30" s="29">
        <f>K30*I30</f>
        <v>5</v>
      </c>
      <c r="P30" t="s">
        <v>6</v>
      </c>
      <c r="Q30" t="s">
        <v>112</v>
      </c>
      <c r="S30" s="1" t="s">
        <v>114</v>
      </c>
    </row>
    <row r="32" spans="1:20" ht="16">
      <c r="O32" s="37">
        <f>SUM(O2:O29)</f>
        <v>214</v>
      </c>
      <c r="P32" s="20" t="s">
        <v>102</v>
      </c>
    </row>
    <row r="33" spans="16:19">
      <c r="P33" t="s">
        <v>2</v>
      </c>
      <c r="S33" s="1" t="s">
        <v>26</v>
      </c>
    </row>
    <row r="34" spans="16:19">
      <c r="P34" t="s">
        <v>3</v>
      </c>
      <c r="S34" s="1" t="s">
        <v>115</v>
      </c>
    </row>
    <row r="35" spans="16:19">
      <c r="P35" t="s">
        <v>6</v>
      </c>
      <c r="S35" t="s">
        <v>116</v>
      </c>
    </row>
  </sheetData>
  <mergeCells count="1">
    <mergeCell ref="C1:G1"/>
  </mergeCells>
  <pageMargins left="0.7" right="0.7" top="0.75" bottom="0.75" header="0.3" footer="0.3"/>
  <pageSetup paperSize="9" scale="45"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Intro</vt:lpstr>
      <vt:lpstr>Instructions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Willmott</dc:creator>
  <cp:lastModifiedBy>Microsoft Office User</cp:lastModifiedBy>
  <cp:lastPrinted>2022-05-30T15:17:21Z</cp:lastPrinted>
  <dcterms:created xsi:type="dcterms:W3CDTF">2022-05-06T09:10:00Z</dcterms:created>
  <dcterms:modified xsi:type="dcterms:W3CDTF">2022-07-14T19:17:38Z</dcterms:modified>
</cp:coreProperties>
</file>